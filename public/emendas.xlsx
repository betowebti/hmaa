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ulo\OneDrive\outros\"/>
    </mc:Choice>
  </mc:AlternateContent>
  <xr:revisionPtr revIDLastSave="0" documentId="13_ncr:1_{EA3A4CE8-C49E-46B5-AE9B-5BD0EFA7A0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1" l="1"/>
</calcChain>
</file>

<file path=xl/sharedStrings.xml><?xml version="1.0" encoding="utf-8"?>
<sst xmlns="http://schemas.openxmlformats.org/spreadsheetml/2006/main" count="82" uniqueCount="45">
  <si>
    <t>Nº Instrumento</t>
  </si>
  <si>
    <t>Link Externo</t>
  </si>
  <si>
    <t>UF</t>
  </si>
  <si>
    <t>Município</t>
  </si>
  <si>
    <t>CNPJ</t>
  </si>
  <si>
    <t>Nome Proponente</t>
  </si>
  <si>
    <t>Modalidade</t>
  </si>
  <si>
    <t>Emenda</t>
  </si>
  <si>
    <t>Objeto</t>
  </si>
  <si>
    <t>Situação</t>
  </si>
  <si>
    <t>Órgão Concedente</t>
  </si>
  <si>
    <t>Natureza Jurídica</t>
  </si>
  <si>
    <t>Início Vigência</t>
  </si>
  <si>
    <t>Fim Vigência</t>
  </si>
  <si>
    <t>Instrumentos Assinados</t>
  </si>
  <si>
    <t>Valor Global</t>
  </si>
  <si>
    <t>Valor Emenda</t>
  </si>
  <si>
    <t>Valor Empenhado</t>
  </si>
  <si>
    <t>Valor Liberado</t>
  </si>
  <si>
    <t>Total em Movimentações Financeiras</t>
  </si>
  <si>
    <t>Saldo em conta</t>
  </si>
  <si>
    <t>Vl Devolvido</t>
  </si>
  <si>
    <t>CE</t>
  </si>
  <si>
    <t>IGUATU</t>
  </si>
  <si>
    <t>07507205000107</t>
  </si>
  <si>
    <t>ASSOC. IGUATUENSE DE ASSIST.SOCIAL DE PROTECAO A MATERNIDADE E A INFANCIA</t>
  </si>
  <si>
    <t>SIM</t>
  </si>
  <si>
    <t>Em execução</t>
  </si>
  <si>
    <t>Organização da Sociedade Civil</t>
  </si>
  <si>
    <t>AQUISIÇÃO DE EQUIPAMENTO E MATERIAL PERMANENTE PARA UNIDADE DE ATENÇÃO ESPECIALIZADA EM SAÚDE</t>
  </si>
  <si>
    <t>954423</t>
  </si>
  <si>
    <t>https://discricionarias.transferegov.sistema.gov.br/voluntarias/ConsultarProposta/ResultadoDaConsultaDePropostaDetalharProposta.do?idProposta=1950774&amp;Usr=guest&amp;Pwd=guest</t>
  </si>
  <si>
    <t>973575</t>
  </si>
  <si>
    <t>https://discricionarias.transferegov.sistema.gov.br/voluntarias/ConsultarProposta/ResultadoDaConsultaDePropostaDetalharProposta.do?idProposta=2041143&amp;Usr=guest&amp;Pwd=guest</t>
  </si>
  <si>
    <t>Valor Contrapartida</t>
  </si>
  <si>
    <t>AMPLIAÇÃO DE UNIDADE DE ATENÇÃO ESPECIALIZADA EM SAÚDE</t>
  </si>
  <si>
    <t>CONVÊNIO</t>
  </si>
  <si>
    <t>MINISTÉRIO DA SAUDE</t>
  </si>
  <si>
    <t>R$ 2.081.236,57 </t>
  </si>
  <si>
    <t>R$ 1.999.998,00 </t>
  </si>
  <si>
    <t>https://discricionarias.transferegov.sistema.gov.br/voluntarias/ConsultarProposta/ResultadoDaConsultaDeConvenioSelecionarConvenio.do?idConvenio=447611&amp;destino=</t>
  </si>
  <si>
    <t>https://discricionarias.transferegov.sistema.gov.br/voluntarias/ConsultarProposta/ResultadoDaConsultaDeConvenioSelecionarConvenio.do?idConvenio=447596&amp;destino=</t>
  </si>
  <si>
    <t>https://discricionarias.transferegov.sistema.gov.br/voluntarias/ConsultarProposta/ResultadoDaConsultaDeConvenioSelecionarConvenio.do?idConvenio=447588&amp;destino=</t>
  </si>
  <si>
    <t>CONTRATO DE REPASSE</t>
  </si>
  <si>
    <t>REFORMA DE UNIDADE DE ATENÇÃO ESPECIALIZADA EM SAÚDE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</si>
</sst>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164" formatCode="dd\/mm\/yyyy"/>
    <numFmt numFmtId="165" formatCode="&quot;R$ &quot;#,##0.00;&quot;-R$ &quot;#,##0.00"/>
    <numFmt numFmtId="166" formatCode="&quot;R$&quot;\ 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3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3" fontId="1" fillId="2" borderId="0" xfId="0" applyNumberFormat="1" applyFont="1" applyFill="1" applyAlignment="1">
      <alignment horizontal="center" vertical="center" wrapText="1"/>
    </xf>
    <xf numFmtId="4" fontId="1" fillId="2" borderId="0" xfId="0" applyNumberFormat="1" applyFont="1" applyFill="1" applyAlignment="1">
      <alignment horizontal="center" vertical="center" wrapText="1"/>
    </xf>
    <xf numFmtId="165" fontId="1" fillId="2" borderId="0" xfId="0" applyNumberFormat="1" applyFont="1" applyFill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3" fontId="0" fillId="3" borderId="1" xfId="0" applyNumberFormat="1" applyFill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center" vertical="center" wrapText="1"/>
    </xf>
    <xf numFmtId="166" fontId="0" fillId="3" borderId="1" xfId="0" applyNumberFormat="1" applyFill="1" applyBorder="1" applyAlignment="1">
      <alignment horizontal="center" vertical="center" wrapText="1"/>
    </xf>
    <xf numFmtId="165" fontId="0" fillId="3" borderId="1" xfId="0" applyNumberFormat="1" applyFill="1" applyBorder="1" applyAlignment="1">
      <alignment horizontal="center" vertical="center" wrapText="1"/>
    </xf>
    <xf numFmtId="166" fontId="3" fillId="3" borderId="1" xfId="0" applyNumberFormat="1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/>
    </xf>
    <xf numFmtId="8" fontId="2" fillId="0" borderId="1" xfId="0" applyNumberFormat="1" applyFon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8" fontId="4" fillId="0" borderId="1" xfId="0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iscricionarias.transferegov.sistema.gov.br/voluntarias/ConsultarProposta/ResultadoDaConsultaDePropostaDetalharProposta.do?idProposta=1950774&amp;Usr=guest&amp;Pwd=gue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"/>
  <sheetViews>
    <sheetView tabSelected="1" workbookViewId="0">
      <selection activeCell="I3" sqref="I3"/>
    </sheetView>
  </sheetViews>
  <sheetFormatPr defaultColWidth="9.109375" defaultRowHeight="14.4" x14ac:dyDescent="0.3"/>
  <cols>
    <col min="1" max="1" width="15.6640625" style="1" customWidth="1"/>
    <col min="2" max="2" width="33.44140625" style="1" customWidth="1"/>
    <col min="3" max="3" width="7.109375" style="1" customWidth="1"/>
    <col min="4" max="4" width="12.88671875" style="1" customWidth="1"/>
    <col min="5" max="5" width="15.6640625" style="1" customWidth="1"/>
    <col min="6" max="6" width="25.88671875" style="1" customWidth="1"/>
    <col min="7" max="7" width="13.44140625" style="1" customWidth="1"/>
    <col min="8" max="8" width="11.5546875" style="1" customWidth="1"/>
    <col min="9" max="9" width="24.5546875" style="1" customWidth="1"/>
    <col min="10" max="12" width="15.6640625" style="1" customWidth="1"/>
    <col min="13" max="14" width="13.5546875" style="2" customWidth="1"/>
    <col min="15" max="15" width="15.44140625" style="3" customWidth="1"/>
    <col min="16" max="16" width="15.6640625" style="4" customWidth="1"/>
    <col min="17" max="17" width="15.6640625" style="5" customWidth="1"/>
    <col min="18" max="18" width="16.88671875" style="5" customWidth="1"/>
    <col min="19" max="23" width="15.6640625" style="4" customWidth="1"/>
    <col min="24" max="16384" width="9.109375" style="1"/>
  </cols>
  <sheetData>
    <row r="1" spans="1:32" s="7" customFormat="1" ht="29.25" customHeigh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8" t="s">
        <v>12</v>
      </c>
      <c r="N1" s="8" t="s">
        <v>13</v>
      </c>
      <c r="O1" s="9" t="s">
        <v>14</v>
      </c>
      <c r="P1" s="10" t="s">
        <v>15</v>
      </c>
      <c r="Q1" s="11" t="s">
        <v>16</v>
      </c>
      <c r="R1" s="10" t="s">
        <v>34</v>
      </c>
      <c r="S1" s="10" t="s">
        <v>17</v>
      </c>
      <c r="T1" s="10" t="s">
        <v>18</v>
      </c>
      <c r="U1" s="10" t="s">
        <v>19</v>
      </c>
      <c r="V1" s="10" t="s">
        <v>20</v>
      </c>
      <c r="W1" s="10" t="s">
        <v>21</v>
      </c>
      <c r="X1" s="18"/>
      <c r="Y1" s="18"/>
      <c r="Z1" s="18"/>
      <c r="AA1" s="18"/>
      <c r="AB1" s="18"/>
      <c r="AC1" s="18"/>
      <c r="AD1" s="18"/>
      <c r="AE1" s="18"/>
      <c r="AF1" s="18"/>
    </row>
    <row r="2" spans="1:32" s="7" customFormat="1" ht="72" x14ac:dyDescent="0.3">
      <c r="A2" s="12">
        <v>812833</v>
      </c>
      <c r="B2" s="12" t="s">
        <v>40</v>
      </c>
      <c r="C2" s="19" t="s">
        <v>22</v>
      </c>
      <c r="D2" s="19" t="s">
        <v>23</v>
      </c>
      <c r="E2" s="19" t="s">
        <v>24</v>
      </c>
      <c r="F2" s="19" t="s">
        <v>25</v>
      </c>
      <c r="G2" s="19" t="s">
        <v>43</v>
      </c>
      <c r="H2" s="19" t="s">
        <v>26</v>
      </c>
      <c r="I2" s="20" t="s">
        <v>35</v>
      </c>
      <c r="J2" s="19" t="s">
        <v>27</v>
      </c>
      <c r="K2" s="19" t="s">
        <v>37</v>
      </c>
      <c r="L2" s="19" t="s">
        <v>28</v>
      </c>
      <c r="M2" s="21">
        <v>41990</v>
      </c>
      <c r="N2" s="21">
        <v>46142</v>
      </c>
      <c r="O2" s="14">
        <v>1</v>
      </c>
      <c r="P2" s="22">
        <v>3099743.39</v>
      </c>
      <c r="Q2" s="22">
        <v>2993996.25</v>
      </c>
      <c r="R2" s="22">
        <f>P2-Q2</f>
        <v>105747.14000000013</v>
      </c>
      <c r="S2" s="15">
        <v>2993996.25</v>
      </c>
      <c r="T2" s="15">
        <v>2773546.6</v>
      </c>
      <c r="U2" s="23">
        <v>0</v>
      </c>
      <c r="V2" s="23">
        <v>0</v>
      </c>
      <c r="W2" s="23">
        <v>0</v>
      </c>
      <c r="X2" s="18"/>
      <c r="Y2" s="18"/>
      <c r="Z2" s="18"/>
      <c r="AA2" s="18"/>
      <c r="AB2" s="18"/>
      <c r="AC2" s="18"/>
      <c r="AD2" s="18"/>
      <c r="AE2" s="18"/>
      <c r="AF2" s="18"/>
    </row>
    <row r="3" spans="1:32" s="7" customFormat="1" ht="72" x14ac:dyDescent="0.3">
      <c r="A3" s="12">
        <v>812812</v>
      </c>
      <c r="B3" s="12" t="s">
        <v>42</v>
      </c>
      <c r="C3" s="19" t="s">
        <v>22</v>
      </c>
      <c r="D3" s="19" t="s">
        <v>23</v>
      </c>
      <c r="E3" s="19" t="s">
        <v>24</v>
      </c>
      <c r="F3" s="19" t="s">
        <v>25</v>
      </c>
      <c r="G3" s="19" t="s">
        <v>43</v>
      </c>
      <c r="H3" s="19" t="s">
        <v>26</v>
      </c>
      <c r="I3" s="32" t="s">
        <v>44</v>
      </c>
      <c r="J3" s="19" t="s">
        <v>27</v>
      </c>
      <c r="K3" s="19" t="s">
        <v>37</v>
      </c>
      <c r="L3" s="19" t="s">
        <v>28</v>
      </c>
      <c r="M3" s="25">
        <v>41990</v>
      </c>
      <c r="N3" s="25">
        <v>46142</v>
      </c>
      <c r="O3" s="13">
        <v>1</v>
      </c>
      <c r="P3" s="26" t="s">
        <v>38</v>
      </c>
      <c r="Q3" s="26" t="s">
        <v>39</v>
      </c>
      <c r="R3" s="22">
        <v>81238.570000000007</v>
      </c>
      <c r="S3" s="16">
        <v>1999998</v>
      </c>
      <c r="T3" s="15">
        <v>1874037.07</v>
      </c>
      <c r="U3" s="23">
        <v>0</v>
      </c>
      <c r="V3" s="23">
        <v>0</v>
      </c>
      <c r="W3" s="23">
        <v>0</v>
      </c>
      <c r="X3" s="18"/>
      <c r="Y3" s="18"/>
      <c r="Z3" s="18"/>
      <c r="AA3" s="18"/>
      <c r="AB3" s="18"/>
      <c r="AC3" s="18"/>
      <c r="AD3" s="18"/>
      <c r="AE3" s="18"/>
      <c r="AF3" s="18"/>
    </row>
    <row r="4" spans="1:32" s="7" customFormat="1" ht="72" x14ac:dyDescent="0.3">
      <c r="A4" s="12">
        <v>812820</v>
      </c>
      <c r="B4" s="12" t="s">
        <v>41</v>
      </c>
      <c r="C4" s="19" t="s">
        <v>22</v>
      </c>
      <c r="D4" s="19" t="s">
        <v>23</v>
      </c>
      <c r="E4" s="19" t="s">
        <v>24</v>
      </c>
      <c r="F4" s="19" t="s">
        <v>25</v>
      </c>
      <c r="G4" s="19" t="s">
        <v>43</v>
      </c>
      <c r="H4" s="19" t="s">
        <v>26</v>
      </c>
      <c r="I4" s="24" t="s">
        <v>35</v>
      </c>
      <c r="J4" s="19" t="s">
        <v>27</v>
      </c>
      <c r="K4" s="19" t="s">
        <v>37</v>
      </c>
      <c r="L4" s="19" t="s">
        <v>28</v>
      </c>
      <c r="M4" s="25">
        <v>41990</v>
      </c>
      <c r="N4" s="25">
        <v>46142</v>
      </c>
      <c r="O4" s="13">
        <v>1</v>
      </c>
      <c r="P4" s="27">
        <v>2275611.69</v>
      </c>
      <c r="Q4" s="17">
        <v>1983000.09</v>
      </c>
      <c r="R4" s="27">
        <v>292611.59999999998</v>
      </c>
      <c r="S4" s="15">
        <v>1983000.09</v>
      </c>
      <c r="T4" s="15">
        <v>1640455.99</v>
      </c>
      <c r="U4" s="23">
        <v>0</v>
      </c>
      <c r="V4" s="23">
        <v>0</v>
      </c>
      <c r="W4" s="23">
        <v>0</v>
      </c>
      <c r="X4" s="18"/>
      <c r="Y4" s="18"/>
      <c r="Z4" s="18"/>
      <c r="AA4" s="18"/>
      <c r="AB4" s="18"/>
      <c r="AC4" s="18"/>
      <c r="AD4" s="18"/>
      <c r="AE4" s="18"/>
      <c r="AF4" s="18"/>
    </row>
    <row r="5" spans="1:32" s="6" customFormat="1" ht="72" x14ac:dyDescent="0.3">
      <c r="A5" s="19" t="s">
        <v>30</v>
      </c>
      <c r="B5" s="28" t="s">
        <v>31</v>
      </c>
      <c r="C5" s="19" t="s">
        <v>22</v>
      </c>
      <c r="D5" s="19" t="s">
        <v>23</v>
      </c>
      <c r="E5" s="19" t="s">
        <v>24</v>
      </c>
      <c r="F5" s="19" t="s">
        <v>25</v>
      </c>
      <c r="G5" s="19" t="s">
        <v>36</v>
      </c>
      <c r="H5" s="19" t="s">
        <v>26</v>
      </c>
      <c r="I5" s="19" t="s">
        <v>29</v>
      </c>
      <c r="J5" s="19" t="s">
        <v>27</v>
      </c>
      <c r="K5" s="19" t="s">
        <v>37</v>
      </c>
      <c r="L5" s="19" t="s">
        <v>28</v>
      </c>
      <c r="M5" s="29">
        <v>45290</v>
      </c>
      <c r="N5" s="29">
        <v>46287</v>
      </c>
      <c r="O5" s="30">
        <v>1</v>
      </c>
      <c r="P5" s="23">
        <v>1999996</v>
      </c>
      <c r="Q5" s="31">
        <v>1999996</v>
      </c>
      <c r="R5" s="23">
        <v>0</v>
      </c>
      <c r="S5" s="23">
        <v>1999996</v>
      </c>
      <c r="T5" s="23">
        <v>0</v>
      </c>
      <c r="U5" s="23">
        <v>0</v>
      </c>
      <c r="V5" s="23">
        <v>0</v>
      </c>
      <c r="W5" s="23">
        <v>0</v>
      </c>
    </row>
    <row r="6" spans="1:32" s="6" customFormat="1" ht="72" x14ac:dyDescent="0.3">
      <c r="A6" s="19" t="s">
        <v>32</v>
      </c>
      <c r="B6" s="19" t="s">
        <v>33</v>
      </c>
      <c r="C6" s="19" t="s">
        <v>22</v>
      </c>
      <c r="D6" s="19" t="s">
        <v>23</v>
      </c>
      <c r="E6" s="19" t="s">
        <v>24</v>
      </c>
      <c r="F6" s="19" t="s">
        <v>25</v>
      </c>
      <c r="G6" s="19" t="s">
        <v>36</v>
      </c>
      <c r="H6" s="19" t="s">
        <v>26</v>
      </c>
      <c r="I6" s="19" t="s">
        <v>29</v>
      </c>
      <c r="J6" s="19" t="s">
        <v>27</v>
      </c>
      <c r="K6" s="19" t="s">
        <v>37</v>
      </c>
      <c r="L6" s="19" t="s">
        <v>28</v>
      </c>
      <c r="M6" s="29">
        <v>45657</v>
      </c>
      <c r="N6" s="29">
        <v>46197</v>
      </c>
      <c r="O6" s="30">
        <v>1</v>
      </c>
      <c r="P6" s="23">
        <v>2999877</v>
      </c>
      <c r="Q6" s="31">
        <v>2999877</v>
      </c>
      <c r="R6" s="23">
        <v>0</v>
      </c>
      <c r="S6" s="23">
        <v>2999877</v>
      </c>
      <c r="T6" s="23">
        <v>0</v>
      </c>
      <c r="U6" s="23">
        <v>0</v>
      </c>
      <c r="V6" s="23">
        <v>0</v>
      </c>
      <c r="W6" s="23">
        <v>0</v>
      </c>
    </row>
  </sheetData>
  <hyperlinks>
    <hyperlink ref="B5" r:id="rId1" xr:uid="{C4E6CB5B-5738-4367-AD03-EAB9A06CC31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ALINE</dc:creator>
  <cp:lastModifiedBy>FNU LNU</cp:lastModifiedBy>
  <dcterms:created xsi:type="dcterms:W3CDTF">2025-12-10T11:56:09Z</dcterms:created>
  <dcterms:modified xsi:type="dcterms:W3CDTF">2026-02-25T20:25:25Z</dcterms:modified>
</cp:coreProperties>
</file>